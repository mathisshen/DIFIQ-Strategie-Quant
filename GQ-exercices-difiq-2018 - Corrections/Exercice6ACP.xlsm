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H:\RAD\8_perso\DIFIQ-master\GQ-exercices-difiq-2016 - Corrections\"/>
    </mc:Choice>
  </mc:AlternateContent>
  <bookViews>
    <workbookView xWindow="120" yWindow="40" windowWidth="15320" windowHeight="12080"/>
  </bookViews>
  <sheets>
    <sheet name="Vecteurs propres" sheetId="1" r:id="rId1"/>
  </sheets>
  <definedNames>
    <definedName name="solver_adj" localSheetId="0" hidden="1">'Vecteurs propres'!$N$34:$N$43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'Vecteurs propres'!$P$34</definedName>
    <definedName name="solver_lhs2" localSheetId="0" hidden="1">'Vecteurs propres'!$Q$34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'Vecteurs propres'!$O$34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hs1" localSheetId="0" hidden="1">1</definedName>
    <definedName name="solver_rhs2" localSheetId="0" hidden="1">0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</workbook>
</file>

<file path=xl/calcChain.xml><?xml version="1.0" encoding="utf-8"?>
<calcChain xmlns="http://schemas.openxmlformats.org/spreadsheetml/2006/main">
  <c r="Q34" i="1" l="1" a="1"/>
  <c r="Q34" i="1" s="1"/>
  <c r="P34" i="1" a="1"/>
  <c r="P34" i="1" s="1"/>
  <c r="P21" i="1" a="1"/>
  <c r="P21" i="1" s="1"/>
  <c r="Q21" i="1" l="1" a="1"/>
  <c r="Q21" i="1" s="1"/>
  <c r="P8" i="1"/>
  <c r="O8" i="1" a="1"/>
  <c r="O8" i="1" s="1"/>
  <c r="B21" i="1" l="1" a="1"/>
  <c r="F21" i="1" s="1"/>
  <c r="E30" i="1" l="1"/>
  <c r="I28" i="1"/>
  <c r="C27" i="1"/>
  <c r="G25" i="1"/>
  <c r="K23" i="1"/>
  <c r="G30" i="1"/>
  <c r="I29" i="1"/>
  <c r="K28" i="1"/>
  <c r="C28" i="1"/>
  <c r="E27" i="1"/>
  <c r="G26" i="1"/>
  <c r="I25" i="1"/>
  <c r="K24" i="1"/>
  <c r="C24" i="1"/>
  <c r="E23" i="1"/>
  <c r="G22" i="1"/>
  <c r="I21" i="1"/>
  <c r="J29" i="1"/>
  <c r="D28" i="1"/>
  <c r="H26" i="1"/>
  <c r="B25" i="1"/>
  <c r="F23" i="1"/>
  <c r="H22" i="1"/>
  <c r="B21" i="1"/>
  <c r="O21" i="1" s="1" a="1"/>
  <c r="O21" i="1" s="1"/>
  <c r="I30" i="1"/>
  <c r="K29" i="1"/>
  <c r="C29" i="1"/>
  <c r="E28" i="1"/>
  <c r="G27" i="1"/>
  <c r="I26" i="1"/>
  <c r="K25" i="1"/>
  <c r="C25" i="1"/>
  <c r="E24" i="1"/>
  <c r="G23" i="1"/>
  <c r="I22" i="1"/>
  <c r="K21" i="1"/>
  <c r="C21" i="1"/>
  <c r="H29" i="1"/>
  <c r="J28" i="1"/>
  <c r="B28" i="1"/>
  <c r="F26" i="1"/>
  <c r="H25" i="1"/>
  <c r="J24" i="1"/>
  <c r="B24" i="1"/>
  <c r="D23" i="1"/>
  <c r="F22" i="1"/>
  <c r="G29" i="1"/>
  <c r="K27" i="1"/>
  <c r="E26" i="1"/>
  <c r="I24" i="1"/>
  <c r="C23" i="1"/>
  <c r="E22" i="1"/>
  <c r="G21" i="1"/>
  <c r="F30" i="1"/>
  <c r="D27" i="1"/>
  <c r="H21" i="1"/>
  <c r="H30" i="1"/>
  <c r="B29" i="1"/>
  <c r="F27" i="1"/>
  <c r="J25" i="1"/>
  <c r="D24" i="1"/>
  <c r="J21" i="1"/>
  <c r="J30" i="1"/>
  <c r="B30" i="1"/>
  <c r="D29" i="1"/>
  <c r="F28" i="1"/>
  <c r="H27" i="1"/>
  <c r="J26" i="1"/>
  <c r="B26" i="1"/>
  <c r="D25" i="1"/>
  <c r="F24" i="1"/>
  <c r="H23" i="1"/>
  <c r="J22" i="1"/>
  <c r="B22" i="1"/>
  <c r="D21" i="1"/>
  <c r="K30" i="1"/>
  <c r="C30" i="1"/>
  <c r="E29" i="1"/>
  <c r="G28" i="1"/>
  <c r="I27" i="1"/>
  <c r="K26" i="1"/>
  <c r="C26" i="1"/>
  <c r="E25" i="1"/>
  <c r="G24" i="1"/>
  <c r="I23" i="1"/>
  <c r="K22" i="1"/>
  <c r="C22" i="1"/>
  <c r="E21" i="1"/>
  <c r="D30" i="1"/>
  <c r="F29" i="1"/>
  <c r="H28" i="1"/>
  <c r="J27" i="1"/>
  <c r="B27" i="1"/>
  <c r="D26" i="1"/>
  <c r="F25" i="1"/>
  <c r="H24" i="1"/>
  <c r="J23" i="1"/>
  <c r="B23" i="1"/>
  <c r="D22" i="1"/>
  <c r="B34" i="1" l="1" a="1"/>
  <c r="F34" i="1" l="1"/>
  <c r="B42" i="1"/>
  <c r="C34" i="1"/>
  <c r="B35" i="1"/>
  <c r="B34" i="1"/>
  <c r="K35" i="1"/>
  <c r="C36" i="1"/>
  <c r="D36" i="1"/>
  <c r="J34" i="1"/>
  <c r="J36" i="1"/>
  <c r="G39" i="1"/>
  <c r="J37" i="1"/>
  <c r="H39" i="1"/>
  <c r="J43" i="1"/>
  <c r="D34" i="1"/>
  <c r="C42" i="1"/>
  <c r="C35" i="1"/>
  <c r="E35" i="1"/>
  <c r="F35" i="1"/>
  <c r="K42" i="1"/>
  <c r="B36" i="1"/>
  <c r="G38" i="1"/>
  <c r="G37" i="1"/>
  <c r="D37" i="1"/>
  <c r="B43" i="1"/>
  <c r="G43" i="1"/>
  <c r="K43" i="1"/>
  <c r="E34" i="1"/>
  <c r="G34" i="1"/>
  <c r="H34" i="1"/>
  <c r="G40" i="1"/>
  <c r="D35" i="1"/>
  <c r="H35" i="1"/>
  <c r="D42" i="1"/>
  <c r="K41" i="1"/>
  <c r="C43" i="1"/>
  <c r="E43" i="1"/>
  <c r="F43" i="1"/>
  <c r="I42" i="1"/>
  <c r="K38" i="1"/>
  <c r="E42" i="1"/>
  <c r="D43" i="1"/>
  <c r="F42" i="1"/>
  <c r="H38" i="1"/>
  <c r="F40" i="1"/>
  <c r="I43" i="1"/>
  <c r="F41" i="1"/>
  <c r="E40" i="1"/>
  <c r="G42" i="1"/>
  <c r="H42" i="1"/>
  <c r="C41" i="1"/>
  <c r="K37" i="1"/>
  <c r="D39" i="1"/>
  <c r="I37" i="1"/>
  <c r="E41" i="1"/>
  <c r="H40" i="1"/>
  <c r="I38" i="1"/>
  <c r="G41" i="1"/>
  <c r="I41" i="1"/>
  <c r="J41" i="1"/>
  <c r="D41" i="1"/>
  <c r="I39" i="1"/>
  <c r="J39" i="1"/>
  <c r="C37" i="1"/>
  <c r="I40" i="1"/>
  <c r="K40" i="1"/>
  <c r="B41" i="1"/>
  <c r="H41" i="1"/>
  <c r="C38" i="1"/>
  <c r="B39" i="1"/>
  <c r="G35" i="1"/>
  <c r="K39" i="1"/>
  <c r="C40" i="1"/>
  <c r="D40" i="1"/>
  <c r="E36" i="1"/>
  <c r="J40" i="1"/>
  <c r="F37" i="1"/>
  <c r="E38" i="1"/>
  <c r="I35" i="1"/>
  <c r="F38" i="1"/>
  <c r="E37" i="1"/>
  <c r="D38" i="1"/>
  <c r="H43" i="1"/>
  <c r="C39" i="1"/>
  <c r="E39" i="1"/>
  <c r="F39" i="1"/>
  <c r="I34" i="1"/>
  <c r="B40" i="1"/>
  <c r="G36" i="1"/>
  <c r="J42" i="1"/>
  <c r="J38" i="1"/>
  <c r="K34" i="1"/>
  <c r="J35" i="1"/>
  <c r="F36" i="1"/>
  <c r="I36" i="1"/>
  <c r="K36" i="1"/>
  <c r="B37" i="1"/>
  <c r="B38" i="1"/>
  <c r="H37" i="1"/>
  <c r="H36" i="1"/>
  <c r="O34" i="1" l="1" a="1"/>
  <c r="O34" i="1" s="1"/>
</calcChain>
</file>

<file path=xl/sharedStrings.xml><?xml version="1.0" encoding="utf-8"?>
<sst xmlns="http://schemas.openxmlformats.org/spreadsheetml/2006/main" count="104" uniqueCount="21">
  <si>
    <t>US BONDS 10Y</t>
  </si>
  <si>
    <t>GERMAN BONDS 10Y</t>
  </si>
  <si>
    <t>S&amp;P 500</t>
  </si>
  <si>
    <t>EUROSTOXX 50</t>
  </si>
  <si>
    <t>NIKKEI</t>
  </si>
  <si>
    <t>MSCI Emerging</t>
  </si>
  <si>
    <t>Commodities (CRB)</t>
  </si>
  <si>
    <t>Iboxx HY US</t>
  </si>
  <si>
    <t>Iboxx HY EUR</t>
  </si>
  <si>
    <t>Emerging Debt</t>
  </si>
  <si>
    <t>vecteur 
propre 1</t>
  </si>
  <si>
    <t>vecteur 
propre 2</t>
  </si>
  <si>
    <t>norme</t>
  </si>
  <si>
    <t>valeur
propre 1</t>
  </si>
  <si>
    <t>valeur
propre 2</t>
  </si>
  <si>
    <t>Matrice de variance covariance</t>
  </si>
  <si>
    <t>Matrice de variance covariance - premier facteur</t>
  </si>
  <si>
    <t>vecteur 
propre 3</t>
  </si>
  <si>
    <t>valeur
propre 3</t>
  </si>
  <si>
    <t>Matrice de variance covariance - premier facteur - second facteur - troisieme facteur</t>
  </si>
  <si>
    <t>orthogonalite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</si>
</sst>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10" fontId="0" fillId="0" borderId="0" xfId="1" applyNumberFormat="1" applyFont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2" borderId="0" xfId="0" applyFill="1"/>
    <xf numFmtId="0" fontId="0" fillId="0" borderId="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0" fontId="0" fillId="0" borderId="0" xfId="1" applyNumberFormat="1" applyFont="1" applyFill="1" applyBorder="1" applyAlignment="1">
      <alignment horizontal="center" vertical="center"/>
    </xf>
    <xf numFmtId="10" fontId="0" fillId="0" borderId="5" xfId="1" applyNumberFormat="1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0" fontId="0" fillId="0" borderId="7" xfId="1" applyNumberFormat="1" applyFont="1" applyFill="1" applyBorder="1" applyAlignment="1">
      <alignment horizontal="center" vertical="center"/>
    </xf>
    <xf numFmtId="10" fontId="0" fillId="0" borderId="8" xfId="1" applyNumberFormat="1" applyFont="1" applyFill="1" applyBorder="1" applyAlignment="1">
      <alignment horizontal="center" vertical="center"/>
    </xf>
    <xf numFmtId="0" fontId="0" fillId="0" borderId="0" xfId="0" applyFill="1"/>
    <xf numFmtId="164" fontId="0" fillId="3" borderId="3" xfId="1" applyNumberFormat="1" applyFont="1" applyFill="1" applyBorder="1" applyAlignment="1">
      <alignment horizontal="center" vertical="center"/>
    </xf>
    <xf numFmtId="164" fontId="0" fillId="3" borderId="2" xfId="1" applyNumberFormat="1" applyFont="1" applyFill="1" applyBorder="1" applyAlignment="1">
      <alignment horizontal="center" vertical="center"/>
    </xf>
    <xf numFmtId="164" fontId="0" fillId="3" borderId="1" xfId="1" applyNumberFormat="1" applyFont="1" applyFill="1" applyBorder="1" applyAlignment="1">
      <alignment horizontal="center" vertical="center"/>
    </xf>
    <xf numFmtId="164" fontId="0" fillId="3" borderId="0" xfId="1" applyNumberFormat="1" applyFont="1" applyFill="1" applyAlignment="1">
      <alignment horizontal="center" vertical="center"/>
    </xf>
    <xf numFmtId="0" fontId="2" fillId="0" borderId="9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1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Q43"/>
  <sheetViews>
    <sheetView tabSelected="1" topLeftCell="D7" workbookViewId="0">
      <selection activeCell="Q34" sqref="Q34"/>
    </sheetView>
  </sheetViews>
  <sheetFormatPr defaultRowHeight="14.5" x14ac:dyDescent="0.35"/>
  <cols>
    <col min="1" max="1" width="19.26953125" style="15" bestFit="1" customWidth="1"/>
    <col min="2" max="2" width="18.81640625" style="15" bestFit="1" customWidth="1"/>
    <col min="3" max="3" width="20.26953125" style="15" bestFit="1" customWidth="1"/>
    <col min="4" max="7" width="18.81640625" style="15" bestFit="1" customWidth="1"/>
    <col min="8" max="8" width="19.36328125" style="15" bestFit="1" customWidth="1"/>
    <col min="9" max="11" width="18.81640625" style="15" bestFit="1" customWidth="1"/>
    <col min="12" max="12" width="9.26953125" customWidth="1"/>
    <col min="13" max="13" width="19.26953125" bestFit="1" customWidth="1"/>
    <col min="14" max="16" width="9.26953125" style="3" bestFit="1" customWidth="1"/>
    <col min="17" max="17" width="12.453125" bestFit="1" customWidth="1"/>
  </cols>
  <sheetData>
    <row r="6" spans="1:16" x14ac:dyDescent="0.35">
      <c r="A6" s="20" t="s">
        <v>15</v>
      </c>
      <c r="B6" s="21"/>
      <c r="C6" s="21"/>
      <c r="D6" s="21"/>
      <c r="E6" s="21"/>
      <c r="F6" s="21"/>
      <c r="G6" s="21"/>
      <c r="H6" s="21"/>
      <c r="I6" s="21"/>
      <c r="J6" s="21"/>
      <c r="K6" s="22"/>
    </row>
    <row r="7" spans="1:16" ht="29" x14ac:dyDescent="0.35">
      <c r="A7" s="7"/>
      <c r="B7" s="8" t="s">
        <v>0</v>
      </c>
      <c r="C7" s="8" t="s">
        <v>1</v>
      </c>
      <c r="D7" s="8" t="s">
        <v>2</v>
      </c>
      <c r="E7" s="8" t="s">
        <v>3</v>
      </c>
      <c r="F7" s="8" t="s">
        <v>4</v>
      </c>
      <c r="G7" s="8" t="s">
        <v>5</v>
      </c>
      <c r="H7" s="8" t="s">
        <v>6</v>
      </c>
      <c r="I7" s="8" t="s">
        <v>7</v>
      </c>
      <c r="J7" s="8" t="s">
        <v>8</v>
      </c>
      <c r="K7" s="9" t="s">
        <v>9</v>
      </c>
      <c r="L7" s="2"/>
      <c r="N7" s="4" t="s">
        <v>10</v>
      </c>
      <c r="O7" s="4" t="s">
        <v>13</v>
      </c>
      <c r="P7" s="5" t="s">
        <v>12</v>
      </c>
    </row>
    <row r="8" spans="1:16" x14ac:dyDescent="0.35">
      <c r="A8" s="7" t="s">
        <v>0</v>
      </c>
      <c r="B8" s="10">
        <v>1.4575710823253279E-3</v>
      </c>
      <c r="C8" s="10">
        <v>9.1324843556912804E-4</v>
      </c>
      <c r="D8" s="10">
        <v>4.6055426171994103E-4</v>
      </c>
      <c r="E8" s="10">
        <v>1.1714953072783266E-5</v>
      </c>
      <c r="F8" s="10">
        <v>-4.3075649098932376E-4</v>
      </c>
      <c r="G8" s="10">
        <v>1.765392113422424E-5</v>
      </c>
      <c r="H8" s="10">
        <v>2.7309137027973492E-4</v>
      </c>
      <c r="I8" s="10">
        <v>2.374849515268869E-4</v>
      </c>
      <c r="J8" s="10">
        <v>8.6590829713208942E-5</v>
      </c>
      <c r="K8" s="11">
        <v>7.164979783005897E-4</v>
      </c>
      <c r="L8" s="1"/>
      <c r="M8" s="6" t="s">
        <v>0</v>
      </c>
      <c r="N8" s="16">
        <v>-6.2866926669243647E-4</v>
      </c>
      <c r="O8" s="19">
        <f t="array" ref="O8">+MMULT(MMULT(TRANSPOSE(N8:N17),B8:K17),N8:N17)</f>
        <v>6.9251325050858528E-2</v>
      </c>
      <c r="P8" s="19">
        <f>+SUMSQ(N8:N17)</f>
        <v>1.0000009686695073</v>
      </c>
    </row>
    <row r="9" spans="1:16" x14ac:dyDescent="0.35">
      <c r="A9" s="7" t="s">
        <v>1</v>
      </c>
      <c r="B9" s="10">
        <v>9.1324843556912804E-4</v>
      </c>
      <c r="C9" s="10">
        <v>1.4766438479793705E-3</v>
      </c>
      <c r="D9" s="10">
        <v>1.3898479653361962E-4</v>
      </c>
      <c r="E9" s="10">
        <v>-4.5789156392930634E-4</v>
      </c>
      <c r="F9" s="10">
        <v>-9.8346608007999874E-4</v>
      </c>
      <c r="G9" s="10">
        <v>-1.005380686669947E-3</v>
      </c>
      <c r="H9" s="10">
        <v>-2.9315166018304502E-4</v>
      </c>
      <c r="I9" s="10">
        <v>1.5624636373014967E-4</v>
      </c>
      <c r="J9" s="10">
        <v>9.3481906044109268E-5</v>
      </c>
      <c r="K9" s="11">
        <v>4.9002302864817467E-4</v>
      </c>
      <c r="L9" s="1"/>
      <c r="M9" s="6" t="s">
        <v>1</v>
      </c>
      <c r="N9" s="17">
        <v>-2.0163814556617241E-2</v>
      </c>
    </row>
    <row r="10" spans="1:16" x14ac:dyDescent="0.35">
      <c r="A10" s="7" t="s">
        <v>2</v>
      </c>
      <c r="B10" s="10">
        <v>4.6055426171994103E-4</v>
      </c>
      <c r="C10" s="10">
        <v>1.3898479653361962E-4</v>
      </c>
      <c r="D10" s="10">
        <v>9.6645116415542513E-3</v>
      </c>
      <c r="E10" s="10">
        <v>8.1779168703193621E-3</v>
      </c>
      <c r="F10" s="10">
        <v>1.1891884747422365E-2</v>
      </c>
      <c r="G10" s="10">
        <v>6.6402238629392823E-3</v>
      </c>
      <c r="H10" s="10">
        <v>1.0669085581699164E-3</v>
      </c>
      <c r="I10" s="10">
        <v>1.1541236275225926E-4</v>
      </c>
      <c r="J10" s="10">
        <v>3.1529371424161981E-4</v>
      </c>
      <c r="K10" s="11">
        <v>1.7491259066965898E-3</v>
      </c>
      <c r="L10" s="1"/>
      <c r="M10" s="6" t="s">
        <v>2</v>
      </c>
      <c r="N10" s="17">
        <v>0.25167456422443535</v>
      </c>
    </row>
    <row r="11" spans="1:16" x14ac:dyDescent="0.35">
      <c r="A11" s="7" t="s">
        <v>3</v>
      </c>
      <c r="B11" s="10">
        <v>1.1714953072783266E-5</v>
      </c>
      <c r="C11" s="10">
        <v>-4.5789156392930634E-4</v>
      </c>
      <c r="D11" s="10">
        <v>8.1779168703193621E-3</v>
      </c>
      <c r="E11" s="10">
        <v>2.1139607692857606E-2</v>
      </c>
      <c r="F11" s="10">
        <v>1.5537290104847078E-2</v>
      </c>
      <c r="G11" s="10">
        <v>1.422403144480114E-2</v>
      </c>
      <c r="H11" s="10">
        <v>3.4513799746712964E-3</v>
      </c>
      <c r="I11" s="10">
        <v>2.6903429000338483E-4</v>
      </c>
      <c r="J11" s="10">
        <v>4.7956384065252065E-4</v>
      </c>
      <c r="K11" s="11">
        <v>2.6746092662798897E-3</v>
      </c>
      <c r="L11" s="1"/>
      <c r="M11" s="6" t="s">
        <v>3</v>
      </c>
      <c r="N11" s="17">
        <v>0.42889355069108942</v>
      </c>
    </row>
    <row r="12" spans="1:16" x14ac:dyDescent="0.35">
      <c r="A12" s="7" t="s">
        <v>4</v>
      </c>
      <c r="B12" s="10">
        <v>-4.3075649098932376E-4</v>
      </c>
      <c r="C12" s="10">
        <v>-9.8346608007999874E-4</v>
      </c>
      <c r="D12" s="10">
        <v>1.1891884747422365E-2</v>
      </c>
      <c r="E12" s="10">
        <v>1.5537290104847078E-2</v>
      </c>
      <c r="F12" s="10">
        <v>3.8665543165163935E-2</v>
      </c>
      <c r="G12" s="10">
        <v>1.5904920565549322E-2</v>
      </c>
      <c r="H12" s="10">
        <v>2.6163908574047185E-3</v>
      </c>
      <c r="I12" s="10">
        <v>7.7694544356735583E-5</v>
      </c>
      <c r="J12" s="10">
        <v>4.4665255345775604E-4</v>
      </c>
      <c r="K12" s="11">
        <v>1.8188410907002941E-3</v>
      </c>
      <c r="L12" s="1"/>
      <c r="M12" s="6" t="s">
        <v>4</v>
      </c>
      <c r="N12" s="17">
        <v>0.62775456977136512</v>
      </c>
    </row>
    <row r="13" spans="1:16" x14ac:dyDescent="0.35">
      <c r="A13" s="7" t="s">
        <v>5</v>
      </c>
      <c r="B13" s="10">
        <v>1.765392113422424E-5</v>
      </c>
      <c r="C13" s="10">
        <v>-1.005380686669947E-3</v>
      </c>
      <c r="D13" s="10">
        <v>6.6402238629392823E-3</v>
      </c>
      <c r="E13" s="10">
        <v>1.422403144480114E-2</v>
      </c>
      <c r="F13" s="10">
        <v>1.5904920565549322E-2</v>
      </c>
      <c r="G13" s="10">
        <v>3.2844319879740506E-2</v>
      </c>
      <c r="H13" s="10">
        <v>9.9455815558252298E-3</v>
      </c>
      <c r="I13" s="10">
        <v>7.830859705646524E-4</v>
      </c>
      <c r="J13" s="10">
        <v>9.4463386598539348E-4</v>
      </c>
      <c r="K13" s="11">
        <v>3.64369251824786E-3</v>
      </c>
      <c r="L13" s="1"/>
      <c r="M13" s="6" t="s">
        <v>5</v>
      </c>
      <c r="N13" s="17">
        <v>0.55433398299350345</v>
      </c>
    </row>
    <row r="14" spans="1:16" x14ac:dyDescent="0.35">
      <c r="A14" s="7" t="s">
        <v>6</v>
      </c>
      <c r="B14" s="10">
        <v>2.7309137027973492E-4</v>
      </c>
      <c r="C14" s="10">
        <v>-2.9315166018304502E-4</v>
      </c>
      <c r="D14" s="10">
        <v>1.0669085581699164E-3</v>
      </c>
      <c r="E14" s="10">
        <v>3.4513799746712964E-3</v>
      </c>
      <c r="F14" s="10">
        <v>2.6163908574047185E-3</v>
      </c>
      <c r="G14" s="10">
        <v>9.9455815558252298E-3</v>
      </c>
      <c r="H14" s="10">
        <v>2.6759018519786629E-2</v>
      </c>
      <c r="I14" s="10">
        <v>6.1433107019962902E-6</v>
      </c>
      <c r="J14" s="10">
        <v>-7.5502833452233007E-5</v>
      </c>
      <c r="K14" s="11">
        <v>1.2819879629336179E-3</v>
      </c>
      <c r="L14" s="1"/>
      <c r="M14" s="6" t="s">
        <v>6</v>
      </c>
      <c r="N14" s="17">
        <v>0.21238329431532008</v>
      </c>
    </row>
    <row r="15" spans="1:16" x14ac:dyDescent="0.35">
      <c r="A15" s="7" t="s">
        <v>7</v>
      </c>
      <c r="B15" s="10">
        <v>2.374849515268869E-4</v>
      </c>
      <c r="C15" s="10">
        <v>1.5624636373014967E-4</v>
      </c>
      <c r="D15" s="10">
        <v>1.1541236275225926E-4</v>
      </c>
      <c r="E15" s="10">
        <v>2.6903429000338483E-4</v>
      </c>
      <c r="F15" s="10">
        <v>7.7694544356735583E-5</v>
      </c>
      <c r="G15" s="10">
        <v>7.830859705646524E-4</v>
      </c>
      <c r="H15" s="10">
        <v>6.1433107019962902E-6</v>
      </c>
      <c r="I15" s="10">
        <v>6.4125298209732125E-4</v>
      </c>
      <c r="J15" s="10">
        <v>2.5144029916512807E-4</v>
      </c>
      <c r="K15" s="11">
        <v>3.1522798628986641E-4</v>
      </c>
      <c r="L15" s="1"/>
      <c r="M15" s="6" t="s">
        <v>7</v>
      </c>
      <c r="N15" s="17">
        <v>9.4122139245132012E-3</v>
      </c>
    </row>
    <row r="16" spans="1:16" x14ac:dyDescent="0.35">
      <c r="A16" s="7" t="s">
        <v>8</v>
      </c>
      <c r="B16" s="10">
        <v>8.6590829713208942E-5</v>
      </c>
      <c r="C16" s="10">
        <v>9.3481906044109268E-5</v>
      </c>
      <c r="D16" s="10">
        <v>3.1529371424161981E-4</v>
      </c>
      <c r="E16" s="10">
        <v>4.7956384065252065E-4</v>
      </c>
      <c r="F16" s="10">
        <v>4.4665255345775604E-4</v>
      </c>
      <c r="G16" s="10">
        <v>9.4463386598539348E-4</v>
      </c>
      <c r="H16" s="10">
        <v>-7.5502833452233007E-5</v>
      </c>
      <c r="I16" s="10">
        <v>2.5144029916512807E-4</v>
      </c>
      <c r="J16" s="10">
        <v>5.9440499748895112E-4</v>
      </c>
      <c r="K16" s="11">
        <v>2.3218429392193513E-4</v>
      </c>
      <c r="L16" s="1"/>
      <c r="M16" s="6" t="s">
        <v>8</v>
      </c>
      <c r="N16" s="17">
        <v>1.5779742062621043E-2</v>
      </c>
    </row>
    <row r="17" spans="1:17" ht="15" thickBot="1" x14ac:dyDescent="0.4">
      <c r="A17" s="12" t="s">
        <v>9</v>
      </c>
      <c r="B17" s="13">
        <v>7.164979783005897E-4</v>
      </c>
      <c r="C17" s="13">
        <v>4.9002302864817467E-4</v>
      </c>
      <c r="D17" s="13">
        <v>1.7491259066965898E-3</v>
      </c>
      <c r="E17" s="13">
        <v>2.6746092662798897E-3</v>
      </c>
      <c r="F17" s="13">
        <v>1.8188410907002941E-3</v>
      </c>
      <c r="G17" s="13">
        <v>3.64369251824786E-3</v>
      </c>
      <c r="H17" s="13">
        <v>1.2819879629336179E-3</v>
      </c>
      <c r="I17" s="13">
        <v>3.1522798628986641E-4</v>
      </c>
      <c r="J17" s="13">
        <v>2.3218429392193513E-4</v>
      </c>
      <c r="K17" s="14">
        <v>1.6657424550771741E-3</v>
      </c>
      <c r="L17" s="1"/>
      <c r="M17" s="6" t="s">
        <v>9</v>
      </c>
      <c r="N17" s="18">
        <v>7.4148578003844778E-2</v>
      </c>
    </row>
    <row r="19" spans="1:17" x14ac:dyDescent="0.35">
      <c r="A19" s="20" t="s">
        <v>16</v>
      </c>
      <c r="B19" s="21"/>
      <c r="C19" s="21"/>
      <c r="D19" s="21"/>
      <c r="E19" s="21"/>
      <c r="F19" s="21"/>
      <c r="G19" s="21"/>
      <c r="H19" s="21"/>
      <c r="I19" s="21"/>
      <c r="J19" s="21"/>
      <c r="K19" s="22"/>
    </row>
    <row r="20" spans="1:17" ht="29" x14ac:dyDescent="0.35">
      <c r="A20" s="7"/>
      <c r="B20" s="8" t="s">
        <v>0</v>
      </c>
      <c r="C20" s="8" t="s">
        <v>1</v>
      </c>
      <c r="D20" s="8" t="s">
        <v>2</v>
      </c>
      <c r="E20" s="8" t="s">
        <v>3</v>
      </c>
      <c r="F20" s="8" t="s">
        <v>4</v>
      </c>
      <c r="G20" s="8" t="s">
        <v>5</v>
      </c>
      <c r="H20" s="8" t="s">
        <v>6</v>
      </c>
      <c r="I20" s="8" t="s">
        <v>7</v>
      </c>
      <c r="J20" s="8" t="s">
        <v>8</v>
      </c>
      <c r="K20" s="9" t="s">
        <v>9</v>
      </c>
      <c r="L20" s="2"/>
      <c r="N20" s="4" t="s">
        <v>11</v>
      </c>
      <c r="O20" s="4" t="s">
        <v>14</v>
      </c>
      <c r="P20" s="3" t="s">
        <v>12</v>
      </c>
      <c r="Q20" s="3" t="s">
        <v>20</v>
      </c>
    </row>
    <row r="21" spans="1:17" x14ac:dyDescent="0.35">
      <c r="A21" s="7" t="s">
        <v>0</v>
      </c>
      <c r="B21" s="10">
        <f t="array" ref="B21:K30">+B8:K17-O8*MMULT(N8:N17,TRANSPOSE(N8:N17))</f>
        <v>1.457543712467138E-3</v>
      </c>
      <c r="C21" s="10">
        <v>9.1237058011440348E-4</v>
      </c>
      <c r="D21" s="10">
        <v>4.7151121078329824E-4</v>
      </c>
      <c r="E21" s="10">
        <v>3.0387339783797628E-5</v>
      </c>
      <c r="F21" s="10">
        <v>-4.0342645520890721E-4</v>
      </c>
      <c r="G21" s="10">
        <v>4.1787505052268919E-5</v>
      </c>
      <c r="H21" s="10">
        <v>2.8233772755422592E-4</v>
      </c>
      <c r="I21" s="10">
        <v>2.3789472336402951E-4</v>
      </c>
      <c r="J21" s="10">
        <v>8.7277819399853915E-5</v>
      </c>
      <c r="K21" s="11">
        <v>7.197261241198231E-4</v>
      </c>
      <c r="L21" s="1"/>
      <c r="M21" s="6" t="s">
        <v>0</v>
      </c>
      <c r="N21" s="16">
        <v>1.3570143034604399E-2</v>
      </c>
      <c r="O21" s="19">
        <f t="array" ref="O21">+MMULT(MMULT(TRANSPOSE(N21:N30),B21:K30),N21:N30)</f>
        <v>2.895249648948613E-2</v>
      </c>
      <c r="P21" s="19">
        <f t="array" ref="P21">+SUMSQ(N21:N30)</f>
        <v>1.0000000020033357</v>
      </c>
      <c r="Q21" s="19">
        <f t="array" ref="Q21">+SUM(N21:N30*N8:N17)</f>
        <v>-2.3259042261636331E-13</v>
      </c>
    </row>
    <row r="22" spans="1:17" x14ac:dyDescent="0.35">
      <c r="A22" s="7" t="s">
        <v>1</v>
      </c>
      <c r="B22" s="10">
        <v>9.1237058011440348E-4</v>
      </c>
      <c r="C22" s="10">
        <v>1.4484876845809141E-3</v>
      </c>
      <c r="D22" s="10">
        <v>4.9041582827820623E-4</v>
      </c>
      <c r="E22" s="10">
        <v>1.4100289921380107E-4</v>
      </c>
      <c r="F22" s="10">
        <v>-1.068878814965504E-4</v>
      </c>
      <c r="G22" s="10">
        <v>-2.3132485717115207E-4</v>
      </c>
      <c r="H22" s="10">
        <v>3.4141865744654904E-6</v>
      </c>
      <c r="I22" s="10">
        <v>1.693893051342031E-4</v>
      </c>
      <c r="J22" s="10">
        <v>1.1551627829312635E-4</v>
      </c>
      <c r="K22" s="11">
        <v>5.9356194347886583E-4</v>
      </c>
      <c r="L22" s="1"/>
      <c r="M22" s="6" t="s">
        <v>1</v>
      </c>
      <c r="N22" s="17">
        <v>-2.7376299048257713E-3</v>
      </c>
    </row>
    <row r="23" spans="1:17" x14ac:dyDescent="0.35">
      <c r="A23" s="7" t="s">
        <v>2</v>
      </c>
      <c r="B23" s="10">
        <v>4.7151121078329824E-4</v>
      </c>
      <c r="C23" s="10">
        <v>4.9041582827820623E-4</v>
      </c>
      <c r="D23" s="10">
        <v>5.2781267379975591E-3</v>
      </c>
      <c r="E23" s="10">
        <v>7.0281821749505324E-4</v>
      </c>
      <c r="F23" s="10">
        <v>9.5087775106855905E-4</v>
      </c>
      <c r="G23" s="10">
        <v>-3.02115062686733E-3</v>
      </c>
      <c r="H23" s="10">
        <v>-2.6346767761413854E-3</v>
      </c>
      <c r="I23" s="10">
        <v>-4.8631203568227612E-5</v>
      </c>
      <c r="J23" s="10">
        <v>4.0271792265528337E-5</v>
      </c>
      <c r="K23" s="11">
        <v>4.5680538881454373E-4</v>
      </c>
      <c r="L23" s="1"/>
      <c r="M23" s="6" t="s">
        <v>2</v>
      </c>
      <c r="N23" s="17">
        <v>-0.15200255875752733</v>
      </c>
    </row>
    <row r="24" spans="1:17" x14ac:dyDescent="0.35">
      <c r="A24" s="7" t="s">
        <v>3</v>
      </c>
      <c r="B24" s="10">
        <v>3.0387339783797628E-5</v>
      </c>
      <c r="C24" s="10">
        <v>1.4100289921380107E-4</v>
      </c>
      <c r="D24" s="10">
        <v>7.0281821749505324E-4</v>
      </c>
      <c r="E24" s="10">
        <v>8.4008487608386792E-3</v>
      </c>
      <c r="F24" s="10">
        <v>-3.1079287843275502E-3</v>
      </c>
      <c r="G24" s="10">
        <v>-2.2404898001596747E-3</v>
      </c>
      <c r="H24" s="10">
        <v>-2.8567111195208013E-3</v>
      </c>
      <c r="I24" s="10">
        <v>-1.0522080121013128E-5</v>
      </c>
      <c r="J24" s="10">
        <v>1.0882672979870976E-5</v>
      </c>
      <c r="K24" s="11">
        <v>4.7228922947593292E-4</v>
      </c>
      <c r="L24" s="1"/>
      <c r="M24" s="6" t="s">
        <v>3</v>
      </c>
      <c r="N24" s="17">
        <v>-8.4019279405442918E-2</v>
      </c>
    </row>
    <row r="25" spans="1:17" x14ac:dyDescent="0.35">
      <c r="A25" s="7" t="s">
        <v>4</v>
      </c>
      <c r="B25" s="10">
        <v>-4.0342645520890721E-4</v>
      </c>
      <c r="C25" s="10">
        <v>-1.068878814965504E-4</v>
      </c>
      <c r="D25" s="10">
        <v>9.5087775106855905E-4</v>
      </c>
      <c r="E25" s="10">
        <v>-3.1079287843275502E-3</v>
      </c>
      <c r="F25" s="10">
        <v>1.1375271853770397E-2</v>
      </c>
      <c r="G25" s="10">
        <v>-8.1935496351978783E-3</v>
      </c>
      <c r="H25" s="10">
        <v>-6.6165132152547507E-3</v>
      </c>
      <c r="I25" s="10">
        <v>-3.3148108575360073E-4</v>
      </c>
      <c r="J25" s="10">
        <v>-2.393375816193621E-4</v>
      </c>
      <c r="K25" s="11">
        <v>-1.4046078629504041E-3</v>
      </c>
      <c r="L25" s="1"/>
      <c r="M25" s="6" t="s">
        <v>4</v>
      </c>
      <c r="N25" s="17">
        <v>-0.45590445403252788</v>
      </c>
    </row>
    <row r="26" spans="1:17" x14ac:dyDescent="0.35">
      <c r="A26" s="7" t="s">
        <v>5</v>
      </c>
      <c r="B26" s="10">
        <v>4.1787505052268919E-5</v>
      </c>
      <c r="C26" s="10">
        <v>-2.3132485717115207E-4</v>
      </c>
      <c r="D26" s="10">
        <v>-3.02115062686733E-3</v>
      </c>
      <c r="E26" s="10">
        <v>-2.2404898001596747E-3</v>
      </c>
      <c r="F26" s="10">
        <v>-8.1935496351978783E-3</v>
      </c>
      <c r="G26" s="10">
        <v>1.1564345804369311E-2</v>
      </c>
      <c r="H26" s="10">
        <v>1.7925345918527753E-3</v>
      </c>
      <c r="I26" s="10">
        <v>4.217664872743126E-4</v>
      </c>
      <c r="J26" s="10">
        <v>3.3887540211622908E-4</v>
      </c>
      <c r="K26" s="11">
        <v>7.9725000154228128E-4</v>
      </c>
      <c r="L26" s="1"/>
      <c r="M26" s="6" t="s">
        <v>5</v>
      </c>
      <c r="N26" s="17">
        <v>0.33732296036278953</v>
      </c>
    </row>
    <row r="27" spans="1:17" x14ac:dyDescent="0.35">
      <c r="A27" s="7" t="s">
        <v>6</v>
      </c>
      <c r="B27" s="10">
        <v>2.8233772755422592E-4</v>
      </c>
      <c r="C27" s="10">
        <v>3.4141865744654904E-6</v>
      </c>
      <c r="D27" s="10">
        <v>-2.6346767761413854E-3</v>
      </c>
      <c r="E27" s="10">
        <v>-2.8567111195208013E-3</v>
      </c>
      <c r="F27" s="10">
        <v>-6.6165132152547507E-3</v>
      </c>
      <c r="G27" s="10">
        <v>1.7925345918527753E-3</v>
      </c>
      <c r="H27" s="10">
        <v>2.3635322289645384E-2</v>
      </c>
      <c r="I27" s="10">
        <v>-1.3228988032683327E-4</v>
      </c>
      <c r="J27" s="10">
        <v>-3.0758851115355603E-4</v>
      </c>
      <c r="K27" s="11">
        <v>1.9142368702090287E-4</v>
      </c>
      <c r="L27" s="1"/>
      <c r="M27" s="6" t="s">
        <v>6</v>
      </c>
      <c r="N27" s="17">
        <v>0.80419430889101218</v>
      </c>
    </row>
    <row r="28" spans="1:17" x14ac:dyDescent="0.35">
      <c r="A28" s="7" t="s">
        <v>7</v>
      </c>
      <c r="B28" s="10">
        <v>2.3789472336402951E-4</v>
      </c>
      <c r="C28" s="10">
        <v>1.693893051342031E-4</v>
      </c>
      <c r="D28" s="10">
        <v>-4.8631203568227612E-5</v>
      </c>
      <c r="E28" s="10">
        <v>-1.0522080121013128E-5</v>
      </c>
      <c r="F28" s="10">
        <v>-3.3148108575360073E-4</v>
      </c>
      <c r="G28" s="10">
        <v>4.217664872743126E-4</v>
      </c>
      <c r="H28" s="10">
        <v>-1.3228988032683327E-4</v>
      </c>
      <c r="I28" s="10">
        <v>6.3511802307233381E-4</v>
      </c>
      <c r="J28" s="10">
        <v>2.4115493253879967E-4</v>
      </c>
      <c r="K28" s="11">
        <v>2.6689732875668636E-4</v>
      </c>
      <c r="L28" s="1"/>
      <c r="M28" s="6" t="s">
        <v>7</v>
      </c>
      <c r="N28" s="17">
        <v>7.3873992603521949E-3</v>
      </c>
    </row>
    <row r="29" spans="1:17" x14ac:dyDescent="0.35">
      <c r="A29" s="7" t="s">
        <v>8</v>
      </c>
      <c r="B29" s="10">
        <v>8.7277819399853915E-5</v>
      </c>
      <c r="C29" s="10">
        <v>1.1551627829312635E-4</v>
      </c>
      <c r="D29" s="10">
        <v>4.0271792265528337E-5</v>
      </c>
      <c r="E29" s="10">
        <v>1.0882672979870976E-5</v>
      </c>
      <c r="F29" s="10">
        <v>-2.393375816193621E-4</v>
      </c>
      <c r="G29" s="10">
        <v>3.3887540211622908E-4</v>
      </c>
      <c r="H29" s="10">
        <v>-3.0758851115355603E-4</v>
      </c>
      <c r="I29" s="10">
        <v>2.4115493253879967E-4</v>
      </c>
      <c r="J29" s="10">
        <v>5.7716139957621595E-4</v>
      </c>
      <c r="K29" s="11">
        <v>1.5115709716387831E-4</v>
      </c>
      <c r="L29" s="1"/>
      <c r="M29" s="6" t="s">
        <v>8</v>
      </c>
      <c r="N29" s="17">
        <v>-7.5269024146232591E-4</v>
      </c>
    </row>
    <row r="30" spans="1:17" ht="15" thickBot="1" x14ac:dyDescent="0.4">
      <c r="A30" s="12" t="s">
        <v>9</v>
      </c>
      <c r="B30" s="13">
        <v>7.197261241198231E-4</v>
      </c>
      <c r="C30" s="13">
        <v>5.9356194347886583E-4</v>
      </c>
      <c r="D30" s="13">
        <v>4.5680538881454373E-4</v>
      </c>
      <c r="E30" s="13">
        <v>4.7228922947593292E-4</v>
      </c>
      <c r="F30" s="13">
        <v>-1.4046078629504041E-3</v>
      </c>
      <c r="G30" s="13">
        <v>7.9725000154228128E-4</v>
      </c>
      <c r="H30" s="13">
        <v>1.9142368702090287E-4</v>
      </c>
      <c r="I30" s="13">
        <v>2.6689732875668636E-4</v>
      </c>
      <c r="J30" s="13">
        <v>1.5115709716387831E-4</v>
      </c>
      <c r="K30" s="14">
        <v>1.2849978652476933E-3</v>
      </c>
      <c r="L30" s="1"/>
      <c r="M30" s="6" t="s">
        <v>9</v>
      </c>
      <c r="N30" s="18">
        <v>3.5000913780604763E-2</v>
      </c>
    </row>
    <row r="32" spans="1:17" x14ac:dyDescent="0.35">
      <c r="A32" s="20" t="s">
        <v>19</v>
      </c>
      <c r="B32" s="21"/>
      <c r="C32" s="21"/>
      <c r="D32" s="21"/>
      <c r="E32" s="21"/>
      <c r="F32" s="21"/>
      <c r="G32" s="21"/>
      <c r="H32" s="21"/>
      <c r="I32" s="21"/>
      <c r="J32" s="21"/>
      <c r="K32" s="22"/>
    </row>
    <row r="33" spans="1:17" ht="29" x14ac:dyDescent="0.35">
      <c r="A33" s="7"/>
      <c r="B33" s="8" t="s">
        <v>0</v>
      </c>
      <c r="C33" s="8" t="s">
        <v>1</v>
      </c>
      <c r="D33" s="8" t="s">
        <v>2</v>
      </c>
      <c r="E33" s="8" t="s">
        <v>3</v>
      </c>
      <c r="F33" s="8" t="s">
        <v>4</v>
      </c>
      <c r="G33" s="8" t="s">
        <v>5</v>
      </c>
      <c r="H33" s="8" t="s">
        <v>6</v>
      </c>
      <c r="I33" s="8" t="s">
        <v>7</v>
      </c>
      <c r="J33" s="8" t="s">
        <v>8</v>
      </c>
      <c r="K33" s="9" t="s">
        <v>9</v>
      </c>
      <c r="L33" s="2"/>
      <c r="N33" s="4" t="s">
        <v>17</v>
      </c>
      <c r="O33" s="4" t="s">
        <v>18</v>
      </c>
      <c r="P33" s="3" t="s">
        <v>12</v>
      </c>
      <c r="Q33" s="3" t="s">
        <v>20</v>
      </c>
    </row>
    <row r="34" spans="1:17" x14ac:dyDescent="0.35">
      <c r="A34" s="7" t="s">
        <v>0</v>
      </c>
      <c r="B34" s="10">
        <f t="array" ref="B34:K43">++B21:K30-O21*MMULT(N21:N30,TRANSPOSE(N21:N30))</f>
        <v>1.4522121455033299E-3</v>
      </c>
      <c r="C34" s="10">
        <v>9.1344616620973667E-4</v>
      </c>
      <c r="D34" s="10">
        <v>5.3123142291513494E-4</v>
      </c>
      <c r="E34" s="10">
        <v>6.3397634020101953E-5</v>
      </c>
      <c r="F34" s="10">
        <v>-2.2430637374959767E-4</v>
      </c>
      <c r="G34" s="10">
        <v>-9.0743150447682316E-5</v>
      </c>
      <c r="H34" s="10">
        <v>-3.3621787303669587E-5</v>
      </c>
      <c r="I34" s="10">
        <v>2.3499229162513642E-4</v>
      </c>
      <c r="J34" s="10">
        <v>8.7573543506455292E-5</v>
      </c>
      <c r="K34" s="11">
        <v>7.0597463195500889E-4</v>
      </c>
      <c r="L34" s="1"/>
      <c r="M34" s="6" t="s">
        <v>0</v>
      </c>
      <c r="N34" s="16">
        <v>-7.7692104546590417E-3</v>
      </c>
      <c r="O34" s="19">
        <f t="array" ref="O34">+MMULT(MMULT(TRANSPOSE(N34:N43),B34:K43),N34:N43)</f>
        <v>1.6242592408635733E-2</v>
      </c>
      <c r="P34" s="19">
        <f t="array" ref="P34">+SUMSQ(N34:N43)</f>
        <v>1.0000000008265038</v>
      </c>
      <c r="Q34" s="19">
        <f t="array" ref="Q34">+SUM(N34:N43*N21:N30)</f>
        <v>1.4300626655083803E-14</v>
      </c>
    </row>
    <row r="35" spans="1:17" x14ac:dyDescent="0.35">
      <c r="A35" s="7" t="s">
        <v>1</v>
      </c>
      <c r="B35" s="10">
        <v>9.1344616620973667E-4</v>
      </c>
      <c r="C35" s="10">
        <v>1.4482706966941769E-3</v>
      </c>
      <c r="D35" s="10">
        <v>4.7836791999619738E-4</v>
      </c>
      <c r="E35" s="10">
        <v>1.343434286070464E-4</v>
      </c>
      <c r="F35" s="10">
        <v>-1.4302342482187759E-4</v>
      </c>
      <c r="G35" s="10">
        <v>-2.0458822772829186E-4</v>
      </c>
      <c r="H35" s="10">
        <v>6.71556087822848E-5</v>
      </c>
      <c r="I35" s="10">
        <v>1.6997483941374954E-4</v>
      </c>
      <c r="J35" s="10">
        <v>1.1545661914614864E-4</v>
      </c>
      <c r="K35" s="11">
        <v>5.9633615861354585E-4</v>
      </c>
      <c r="L35" s="1"/>
      <c r="M35" s="6" t="s">
        <v>1</v>
      </c>
      <c r="N35" s="17">
        <v>2.3017226305981566E-3</v>
      </c>
    </row>
    <row r="36" spans="1:17" x14ac:dyDescent="0.35">
      <c r="A36" s="7" t="s">
        <v>2</v>
      </c>
      <c r="B36" s="10">
        <v>5.3123142291513494E-4</v>
      </c>
      <c r="C36" s="10">
        <v>4.7836791999619738E-4</v>
      </c>
      <c r="D36" s="10">
        <v>4.6091857378597412E-3</v>
      </c>
      <c r="E36" s="10">
        <v>3.3306167355429226E-4</v>
      </c>
      <c r="F36" s="10">
        <v>-1.0554909833834355E-3</v>
      </c>
      <c r="G36" s="10">
        <v>-1.5366416796562057E-3</v>
      </c>
      <c r="H36" s="10">
        <v>9.0446460208264915E-4</v>
      </c>
      <c r="I36" s="10">
        <v>-1.6120341316754789E-5</v>
      </c>
      <c r="J36" s="10">
        <v>3.6959312745226509E-5</v>
      </c>
      <c r="K36" s="11">
        <v>6.1083928443786872E-4</v>
      </c>
      <c r="L36" s="1"/>
      <c r="M36" s="6" t="s">
        <v>2</v>
      </c>
      <c r="N36" s="17">
        <v>6.9241519258950696E-2</v>
      </c>
    </row>
    <row r="37" spans="1:17" x14ac:dyDescent="0.35">
      <c r="A37" s="7" t="s">
        <v>3</v>
      </c>
      <c r="B37" s="10">
        <v>6.3397634020101953E-5</v>
      </c>
      <c r="C37" s="10">
        <v>1.343434286070464E-4</v>
      </c>
      <c r="D37" s="10">
        <v>3.3306167355429226E-4</v>
      </c>
      <c r="E37" s="10">
        <v>8.1964661594450608E-3</v>
      </c>
      <c r="F37" s="10">
        <v>-4.216947321042934E-3</v>
      </c>
      <c r="G37" s="10">
        <v>-1.4199287975348767E-3</v>
      </c>
      <c r="H37" s="10">
        <v>-9.0045386475505473E-4</v>
      </c>
      <c r="I37" s="10">
        <v>7.448270125364504E-6</v>
      </c>
      <c r="J37" s="10">
        <v>9.0517028658414703E-6</v>
      </c>
      <c r="K37" s="11">
        <v>5.5743132853052586E-4</v>
      </c>
      <c r="L37" s="1"/>
      <c r="M37" s="6" t="s">
        <v>3</v>
      </c>
      <c r="N37" s="17">
        <v>-0.21456219834554069</v>
      </c>
    </row>
    <row r="38" spans="1:17" x14ac:dyDescent="0.35">
      <c r="A38" s="7" t="s">
        <v>4</v>
      </c>
      <c r="B38" s="10">
        <v>-2.2430637374959767E-4</v>
      </c>
      <c r="C38" s="10">
        <v>-1.4302342482187759E-4</v>
      </c>
      <c r="D38" s="10">
        <v>-1.0554909833834355E-3</v>
      </c>
      <c r="E38" s="10">
        <v>-4.216947321042934E-3</v>
      </c>
      <c r="F38" s="10">
        <v>5.3575281398148388E-3</v>
      </c>
      <c r="G38" s="10">
        <v>-3.7410308972448906E-3</v>
      </c>
      <c r="H38" s="10">
        <v>3.9985075513167458E-3</v>
      </c>
      <c r="I38" s="10">
        <v>-2.3397057654876512E-4</v>
      </c>
      <c r="J38" s="10">
        <v>-2.4927277073421211E-4</v>
      </c>
      <c r="K38" s="11">
        <v>-9.4261077776529854E-4</v>
      </c>
      <c r="L38" s="1"/>
      <c r="M38" s="6" t="s">
        <v>4</v>
      </c>
      <c r="N38" s="17">
        <v>0.50030212047874034</v>
      </c>
    </row>
    <row r="39" spans="1:17" x14ac:dyDescent="0.35">
      <c r="A39" s="7" t="s">
        <v>5</v>
      </c>
      <c r="B39" s="10">
        <v>-9.0743150447682316E-5</v>
      </c>
      <c r="C39" s="10">
        <v>-2.0458822772829186E-4</v>
      </c>
      <c r="D39" s="10">
        <v>-1.5366416796562057E-3</v>
      </c>
      <c r="E39" s="10">
        <v>-1.4199287975348767E-3</v>
      </c>
      <c r="F39" s="10">
        <v>-3.7410308972448906E-3</v>
      </c>
      <c r="G39" s="10">
        <v>8.2699344678002391E-3</v>
      </c>
      <c r="H39" s="10">
        <v>-6.0615019230809211E-3</v>
      </c>
      <c r="I39" s="10">
        <v>3.4961862089459225E-4</v>
      </c>
      <c r="J39" s="10">
        <v>3.4622643230323893E-4</v>
      </c>
      <c r="K39" s="11">
        <v>4.5541911334810579E-4</v>
      </c>
      <c r="L39" s="1"/>
      <c r="M39" s="6" t="s">
        <v>5</v>
      </c>
      <c r="N39" s="17">
        <v>-0.629455282832453</v>
      </c>
    </row>
    <row r="40" spans="1:17" x14ac:dyDescent="0.35">
      <c r="A40" s="7" t="s">
        <v>6</v>
      </c>
      <c r="B40" s="10">
        <v>-3.3621787303669587E-5</v>
      </c>
      <c r="C40" s="10">
        <v>6.71556087822848E-5</v>
      </c>
      <c r="D40" s="10">
        <v>9.0446460208264915E-4</v>
      </c>
      <c r="E40" s="10">
        <v>-9.0045386475505473E-4</v>
      </c>
      <c r="F40" s="10">
        <v>3.9985075513167458E-3</v>
      </c>
      <c r="G40" s="10">
        <v>-6.0615019230809211E-3</v>
      </c>
      <c r="H40" s="10">
        <v>4.9109180559731222E-3</v>
      </c>
      <c r="I40" s="10">
        <v>-3.0429389534792478E-4</v>
      </c>
      <c r="J40" s="10">
        <v>-2.9006329841819583E-4</v>
      </c>
      <c r="K40" s="11">
        <v>-6.2351774060460941E-4</v>
      </c>
      <c r="L40" s="1"/>
      <c r="M40" s="6" t="s">
        <v>6</v>
      </c>
      <c r="N40" s="17">
        <v>0.54220741128659655</v>
      </c>
    </row>
    <row r="41" spans="1:17" x14ac:dyDescent="0.35">
      <c r="A41" s="7" t="s">
        <v>7</v>
      </c>
      <c r="B41" s="10">
        <v>2.3499229162513642E-4</v>
      </c>
      <c r="C41" s="10">
        <v>1.6997483941374954E-4</v>
      </c>
      <c r="D41" s="10">
        <v>-1.6120341316754789E-5</v>
      </c>
      <c r="E41" s="10">
        <v>7.448270125364504E-6</v>
      </c>
      <c r="F41" s="10">
        <v>-2.3397057654876512E-4</v>
      </c>
      <c r="G41" s="10">
        <v>3.4961862089459225E-4</v>
      </c>
      <c r="H41" s="10">
        <v>-3.0429389534792478E-4</v>
      </c>
      <c r="I41" s="10">
        <v>6.3353797914601372E-4</v>
      </c>
      <c r="J41" s="10">
        <v>2.4131592067582996E-4</v>
      </c>
      <c r="K41" s="11">
        <v>2.5941120552364197E-4</v>
      </c>
      <c r="L41" s="1"/>
      <c r="M41" s="6" t="s">
        <v>7</v>
      </c>
      <c r="N41" s="17">
        <v>-3.428010333511794E-2</v>
      </c>
    </row>
    <row r="42" spans="1:17" x14ac:dyDescent="0.35">
      <c r="A42" s="7" t="s">
        <v>8</v>
      </c>
      <c r="B42" s="10">
        <v>8.7573543506455292E-5</v>
      </c>
      <c r="C42" s="10">
        <v>1.1545661914614864E-4</v>
      </c>
      <c r="D42" s="10">
        <v>3.6959312745226509E-5</v>
      </c>
      <c r="E42" s="10">
        <v>9.0517028658414703E-6</v>
      </c>
      <c r="F42" s="10">
        <v>-2.4927277073421211E-4</v>
      </c>
      <c r="G42" s="10">
        <v>3.4622643230323893E-4</v>
      </c>
      <c r="H42" s="10">
        <v>-2.9006329841819583E-4</v>
      </c>
      <c r="I42" s="10">
        <v>2.4131592067582996E-4</v>
      </c>
      <c r="J42" s="10">
        <v>5.7714499675359007E-4</v>
      </c>
      <c r="K42" s="11">
        <v>1.5191984623230055E-4</v>
      </c>
      <c r="L42" s="1"/>
      <c r="M42" s="6" t="s">
        <v>8</v>
      </c>
      <c r="N42" s="17">
        <v>-3.3182485544412971E-2</v>
      </c>
    </row>
    <row r="43" spans="1:17" ht="15" thickBot="1" x14ac:dyDescent="0.4">
      <c r="A43" s="12" t="s">
        <v>9</v>
      </c>
      <c r="B43" s="13">
        <v>7.0597463195500889E-4</v>
      </c>
      <c r="C43" s="13">
        <v>5.9633615861354585E-4</v>
      </c>
      <c r="D43" s="13">
        <v>6.1083928443786872E-4</v>
      </c>
      <c r="E43" s="13">
        <v>5.5743132853052586E-4</v>
      </c>
      <c r="F43" s="13">
        <v>-9.4261077776529854E-4</v>
      </c>
      <c r="G43" s="13">
        <v>4.5541911334810579E-4</v>
      </c>
      <c r="H43" s="13">
        <v>-6.2351774060460941E-4</v>
      </c>
      <c r="I43" s="13">
        <v>2.5941120552364197E-4</v>
      </c>
      <c r="J43" s="13">
        <v>1.5191984623230055E-4</v>
      </c>
      <c r="K43" s="14">
        <v>1.2495292050878151E-3</v>
      </c>
      <c r="L43" s="1"/>
      <c r="M43" s="6" t="s">
        <v>9</v>
      </c>
      <c r="N43" s="18">
        <v>-7.9509576739514018E-2</v>
      </c>
    </row>
  </sheetData>
  <mergeCells count="3">
    <mergeCell ref="A6:K6"/>
    <mergeCell ref="A19:K19"/>
    <mergeCell ref="A32:K32"/>
  </mergeCells>
  <conditionalFormatting sqref="N8:N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:N3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4:N4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Vecteurs propres</vt:lpstr>
    </vt:vector>
  </TitlesOfParts>
  <Company>SOCIETE GENERALE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Charles RICHARD (jrichard012411)</dc:creator>
  <cp:lastModifiedBy>Jean-Charles Richard</cp:lastModifiedBy>
  <dcterms:created xsi:type="dcterms:W3CDTF">2016-04-18T13:42:43Z</dcterms:created>
  <dcterms:modified xsi:type="dcterms:W3CDTF">2018-05-01T12:26:17Z</dcterms:modified>
</cp:coreProperties>
</file>